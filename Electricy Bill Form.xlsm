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 activeTab="1"/>
  </bookViews>
  <sheets>
    <sheet name="Tariff" sheetId="2" r:id="rId1"/>
    <sheet name="Electric Bill" sheetId="1" r:id="rId2"/>
  </sheets>
  <calcPr calcId="144525"/>
</workbook>
</file>

<file path=xl/calcChain.xml><?xml version="1.0" encoding="utf-8"?>
<calcChain xmlns="http://schemas.openxmlformats.org/spreadsheetml/2006/main">
  <c r="E34" i="1" l="1"/>
  <c r="D8" i="2"/>
  <c r="D2" i="2"/>
  <c r="D10" i="2"/>
  <c r="D9" i="2"/>
  <c r="D44" i="1" l="1"/>
  <c r="D7" i="2" l="1"/>
  <c r="D4" i="2"/>
  <c r="D5" i="2"/>
  <c r="D6" i="2"/>
  <c r="D3" i="2"/>
  <c r="D14" i="1" l="1"/>
  <c r="C9" i="1"/>
  <c r="D19" i="1" l="1"/>
  <c r="D7" i="1" l="1"/>
  <c r="D9" i="1" s="1"/>
  <c r="E30" i="1"/>
  <c r="E32" i="1" s="1"/>
  <c r="C30" i="1" l="1"/>
  <c r="C32" i="1" s="1"/>
  <c r="B28" i="1"/>
  <c r="D30" i="1" l="1"/>
  <c r="D32" i="1" s="1"/>
  <c r="E27" i="1"/>
  <c r="E20" i="1"/>
  <c r="B22" i="1" s="1"/>
  <c r="E22" i="1" l="1"/>
  <c r="C22" i="1"/>
  <c r="B23" i="1" l="1"/>
  <c r="C23" i="1" s="1"/>
  <c r="E23" i="1" l="1"/>
  <c r="B24" i="1"/>
  <c r="C24" i="1" l="1"/>
  <c r="B25" i="1" s="1"/>
  <c r="E24" i="1" l="1"/>
  <c r="C31" i="1" s="1"/>
  <c r="C33" i="1" s="1"/>
  <c r="E25" i="1"/>
  <c r="C36" i="1" l="1"/>
  <c r="C25" i="1"/>
  <c r="B26" i="1" l="1"/>
  <c r="E26" i="1" l="1"/>
  <c r="E28" i="1" s="1"/>
  <c r="C26" i="1"/>
  <c r="D31" i="1" l="1"/>
  <c r="D33" i="1" s="1"/>
  <c r="E31" i="1"/>
  <c r="E33" i="1" s="1"/>
  <c r="D36" i="1" l="1"/>
  <c r="C37" i="1" s="1"/>
  <c r="E36" i="1"/>
  <c r="C38" i="1" l="1"/>
  <c r="C41" i="1" s="1"/>
  <c r="C10" i="1" s="1"/>
  <c r="C12" i="1" s="1"/>
  <c r="A6" i="1" s="1"/>
  <c r="C11" i="1" l="1"/>
</calcChain>
</file>

<file path=xl/sharedStrings.xml><?xml version="1.0" encoding="utf-8"?>
<sst xmlns="http://schemas.openxmlformats.org/spreadsheetml/2006/main" count="80" uniqueCount="59">
  <si>
    <t>Oustanding Charges</t>
  </si>
  <si>
    <t>Current Charges</t>
  </si>
  <si>
    <t>Rounding Up</t>
  </si>
  <si>
    <t>Total Bill</t>
  </si>
  <si>
    <t>Previous Bill</t>
  </si>
  <si>
    <t>Last Payment</t>
  </si>
  <si>
    <t>RM</t>
  </si>
  <si>
    <t>Bill Date</t>
  </si>
  <si>
    <t>Due Date</t>
  </si>
  <si>
    <t>Date</t>
  </si>
  <si>
    <t>Type of Reading</t>
  </si>
  <si>
    <t>Billing Period</t>
  </si>
  <si>
    <t>Tariff</t>
  </si>
  <si>
    <t>kWh</t>
  </si>
  <si>
    <t>Prorated Block (kWh)</t>
  </si>
  <si>
    <t>Prorate Factor</t>
  </si>
  <si>
    <t>Amount (RM)</t>
  </si>
  <si>
    <t>Total</t>
  </si>
  <si>
    <t>Description</t>
  </si>
  <si>
    <t>ST Non Applicable</t>
  </si>
  <si>
    <t>ST Applicable</t>
  </si>
  <si>
    <t>Current Month Usage</t>
  </si>
  <si>
    <t>Service Tax (6%)</t>
  </si>
  <si>
    <t>Renewable Energy Fund (1.6%)</t>
  </si>
  <si>
    <t>Meter Number</t>
  </si>
  <si>
    <t>Meter Reading</t>
  </si>
  <si>
    <t>Previous</t>
  </si>
  <si>
    <t>Current</t>
  </si>
  <si>
    <t>Usage</t>
  </si>
  <si>
    <t>Unit</t>
  </si>
  <si>
    <t>Tarrff Block (kWh)</t>
  </si>
  <si>
    <t>Tariff Category</t>
  </si>
  <si>
    <t>No.</t>
  </si>
  <si>
    <t>Rates (sen/kWh)</t>
  </si>
  <si>
    <t>Interval (kWh)</t>
  </si>
  <si>
    <t>B. Low Voltage Commercial</t>
  </si>
  <si>
    <t>Amount</t>
  </si>
  <si>
    <t>-</t>
  </si>
  <si>
    <t>false input</t>
  </si>
  <si>
    <t>input</t>
  </si>
  <si>
    <t>From</t>
  </si>
  <si>
    <t>To</t>
  </si>
  <si>
    <t>Days</t>
  </si>
  <si>
    <t>Tariff Left</t>
  </si>
  <si>
    <t>Minimum Charges</t>
  </si>
  <si>
    <t>A. Domestic</t>
  </si>
  <si>
    <t>infinity</t>
  </si>
  <si>
    <t>Rate</t>
  </si>
  <si>
    <t>Rebate ICPT(RM0.02/kWh)</t>
  </si>
  <si>
    <t>Pemulih Discount</t>
  </si>
  <si>
    <t>Pumulih Discount  (Jul 2021)</t>
  </si>
  <si>
    <t>cell colour</t>
  </si>
  <si>
    <t>***please do not simply change the worksheet name</t>
  </si>
  <si>
    <t>No. Akaun :</t>
  </si>
  <si>
    <t>No. Contract :</t>
  </si>
  <si>
    <t>Deposit :</t>
  </si>
  <si>
    <t>No. Invois :</t>
  </si>
  <si>
    <t>220398023405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</si>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</sst>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M&quot;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3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EB9C"/>
      </patternFill>
    </fill>
  </fills>
  <borders count="52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 style="double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  <xf numFmtId="0" fontId="9" fillId="6" borderId="0" applyNumberFormat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1" fillId="4" borderId="3" xfId="3" applyBorder="1" applyAlignment="1">
      <alignment horizontal="center"/>
    </xf>
    <xf numFmtId="0" fontId="6" fillId="5" borderId="3" xfId="4" applyFont="1" applyBorder="1"/>
    <xf numFmtId="0" fontId="6" fillId="4" borderId="3" xfId="3" applyFont="1" applyBorder="1"/>
    <xf numFmtId="0" fontId="6" fillId="4" borderId="3" xfId="3" applyFont="1" applyBorder="1" applyAlignment="1">
      <alignment horizontal="center"/>
    </xf>
    <xf numFmtId="0" fontId="6" fillId="5" borderId="3" xfId="4" applyFont="1" applyBorder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/>
    <xf numFmtId="0" fontId="6" fillId="5" borderId="3" xfId="4" applyFont="1" applyBorder="1" applyAlignment="1">
      <alignment horizontal="right"/>
    </xf>
    <xf numFmtId="0" fontId="6" fillId="4" borderId="3" xfId="3" applyFont="1" applyBorder="1" applyAlignment="1">
      <alignment horizontal="right"/>
    </xf>
    <xf numFmtId="0" fontId="6" fillId="5" borderId="5" xfId="4" applyFont="1" applyBorder="1"/>
    <xf numFmtId="0" fontId="6" fillId="4" borderId="5" xfId="3" applyFont="1" applyBorder="1"/>
    <xf numFmtId="0" fontId="6" fillId="4" borderId="6" xfId="3" applyFont="1" applyBorder="1" applyAlignment="1">
      <alignment horizontal="center"/>
    </xf>
    <xf numFmtId="0" fontId="6" fillId="4" borderId="6" xfId="3" applyFont="1" applyBorder="1" applyAlignment="1">
      <alignment horizontal="right"/>
    </xf>
    <xf numFmtId="0" fontId="6" fillId="5" borderId="6" xfId="4" applyFont="1" applyBorder="1"/>
    <xf numFmtId="2" fontId="6" fillId="4" borderId="8" xfId="3" applyNumberFormat="1" applyFont="1" applyBorder="1" applyAlignment="1">
      <alignment horizontal="center"/>
    </xf>
    <xf numFmtId="2" fontId="1" fillId="4" borderId="0" xfId="3" applyNumberFormat="1" applyAlignment="1">
      <alignment horizontal="center"/>
    </xf>
    <xf numFmtId="2" fontId="6" fillId="4" borderId="3" xfId="3" applyNumberFormat="1" applyFont="1" applyBorder="1" applyAlignment="1">
      <alignment horizontal="center"/>
    </xf>
    <xf numFmtId="2" fontId="6" fillId="4" borderId="3" xfId="3" applyNumberFormat="1" applyFont="1" applyBorder="1" applyAlignment="1">
      <alignment horizontal="right"/>
    </xf>
    <xf numFmtId="0" fontId="7" fillId="4" borderId="5" xfId="3" applyFont="1" applyBorder="1"/>
    <xf numFmtId="0" fontId="4" fillId="5" borderId="3" xfId="4" applyFont="1" applyBorder="1" applyAlignment="1">
      <alignment horizontal="center"/>
    </xf>
    <xf numFmtId="0" fontId="7" fillId="5" borderId="3" xfId="4" applyFont="1" applyBorder="1" applyAlignment="1">
      <alignment horizontal="center"/>
    </xf>
    <xf numFmtId="0" fontId="7" fillId="5" borderId="1" xfId="4" applyFont="1" applyBorder="1"/>
    <xf numFmtId="0" fontId="7" fillId="4" borderId="8" xfId="3" applyFont="1" applyBorder="1"/>
    <xf numFmtId="0" fontId="7" fillId="4" borderId="3" xfId="3" applyFont="1" applyBorder="1"/>
    <xf numFmtId="0" fontId="7" fillId="5" borderId="10" xfId="4" applyFont="1" applyBorder="1" applyAlignment="1">
      <alignment horizontal="center" vertical="center"/>
    </xf>
    <xf numFmtId="0" fontId="7" fillId="5" borderId="2" xfId="4" applyFont="1" applyBorder="1" applyAlignment="1">
      <alignment horizontal="center" vertical="center"/>
    </xf>
    <xf numFmtId="0" fontId="6" fillId="5" borderId="3" xfId="4" applyFont="1" applyBorder="1" applyAlignment="1"/>
    <xf numFmtId="14" fontId="2" fillId="2" borderId="5" xfId="1" applyNumberFormat="1" applyBorder="1" applyAlignment="1">
      <alignment horizontal="center"/>
    </xf>
    <xf numFmtId="14" fontId="2" fillId="2" borderId="3" xfId="1" applyNumberFormat="1" applyBorder="1" applyAlignment="1">
      <alignment horizontal="center"/>
    </xf>
    <xf numFmtId="2" fontId="2" fillId="2" borderId="1" xfId="1" applyNumberFormat="1" applyBorder="1"/>
    <xf numFmtId="0" fontId="3" fillId="3" borderId="13" xfId="2" applyBorder="1"/>
    <xf numFmtId="0" fontId="0" fillId="0" borderId="14" xfId="0" applyBorder="1"/>
    <xf numFmtId="0" fontId="6" fillId="4" borderId="8" xfId="3" applyFont="1" applyBorder="1" applyAlignment="1">
      <alignment horizontal="right"/>
    </xf>
    <xf numFmtId="0" fontId="6" fillId="5" borderId="1" xfId="4" applyFont="1" applyBorder="1" applyAlignment="1">
      <alignment horizontal="right"/>
    </xf>
    <xf numFmtId="9" fontId="6" fillId="4" borderId="6" xfId="3" applyNumberFormat="1" applyFont="1" applyBorder="1" applyAlignment="1">
      <alignment horizontal="center"/>
    </xf>
    <xf numFmtId="14" fontId="0" fillId="0" borderId="0" xfId="0" applyNumberFormat="1"/>
    <xf numFmtId="0" fontId="6" fillId="5" borderId="0" xfId="4" applyFont="1"/>
    <xf numFmtId="0" fontId="7" fillId="5" borderId="0" xfId="4" applyFont="1"/>
    <xf numFmtId="0" fontId="7" fillId="4" borderId="3" xfId="3" applyFont="1" applyBorder="1" applyAlignment="1">
      <alignment horizontal="center"/>
    </xf>
    <xf numFmtId="0" fontId="7" fillId="5" borderId="4" xfId="4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9" fillId="6" borderId="0" xfId="5"/>
    <xf numFmtId="0" fontId="10" fillId="6" borderId="15" xfId="5" applyFont="1" applyBorder="1"/>
    <xf numFmtId="0" fontId="0" fillId="0" borderId="0" xfId="0" applyBorder="1"/>
    <xf numFmtId="0" fontId="2" fillId="2" borderId="20" xfId="1" applyBorder="1"/>
    <xf numFmtId="0" fontId="0" fillId="0" borderId="21" xfId="0" applyBorder="1"/>
    <xf numFmtId="9" fontId="7" fillId="5" borderId="5" xfId="4" applyNumberFormat="1" applyFont="1" applyBorder="1" applyAlignment="1">
      <alignment horizontal="left"/>
    </xf>
    <xf numFmtId="9" fontId="6" fillId="5" borderId="6" xfId="4" applyNumberFormat="1" applyFont="1" applyBorder="1" applyAlignment="1">
      <alignment horizontal="center"/>
    </xf>
    <xf numFmtId="14" fontId="6" fillId="4" borderId="23" xfId="3" applyNumberFormat="1" applyFont="1" applyBorder="1" applyAlignment="1">
      <alignment horizontal="center"/>
    </xf>
    <xf numFmtId="0" fontId="6" fillId="5" borderId="26" xfId="4" applyFont="1" applyBorder="1" applyAlignment="1">
      <alignment horizontal="right"/>
    </xf>
    <xf numFmtId="0" fontId="6" fillId="5" borderId="27" xfId="4" applyFont="1" applyBorder="1"/>
    <xf numFmtId="0" fontId="7" fillId="5" borderId="28" xfId="4" applyFont="1" applyBorder="1"/>
    <xf numFmtId="0" fontId="6" fillId="5" borderId="24" xfId="4" applyFont="1" applyBorder="1" applyAlignment="1">
      <alignment horizontal="right"/>
    </xf>
    <xf numFmtId="2" fontId="2" fillId="2" borderId="24" xfId="1" applyNumberFormat="1" applyBorder="1"/>
    <xf numFmtId="0" fontId="6" fillId="5" borderId="29" xfId="4" applyFont="1" applyBorder="1" applyAlignment="1">
      <alignment horizontal="center"/>
    </xf>
    <xf numFmtId="0" fontId="7" fillId="4" borderId="29" xfId="3" applyFont="1" applyBorder="1" applyAlignment="1">
      <alignment horizontal="center"/>
    </xf>
    <xf numFmtId="2" fontId="6" fillId="5" borderId="29" xfId="4" applyNumberFormat="1" applyFont="1" applyBorder="1" applyAlignment="1">
      <alignment horizontal="right"/>
    </xf>
    <xf numFmtId="0" fontId="1" fillId="4" borderId="29" xfId="3" applyBorder="1" applyAlignment="1">
      <alignment horizontal="right"/>
    </xf>
    <xf numFmtId="0" fontId="6" fillId="5" borderId="29" xfId="4" applyFont="1" applyBorder="1" applyAlignment="1">
      <alignment horizontal="right"/>
    </xf>
    <xf numFmtId="0" fontId="6" fillId="4" borderId="29" xfId="3" applyFont="1" applyBorder="1" applyAlignment="1">
      <alignment horizontal="right"/>
    </xf>
    <xf numFmtId="2" fontId="6" fillId="4" borderId="29" xfId="3" applyNumberFormat="1" applyFont="1" applyBorder="1" applyAlignment="1">
      <alignment horizontal="right"/>
    </xf>
    <xf numFmtId="0" fontId="6" fillId="5" borderId="18" xfId="4" applyFont="1" applyBorder="1"/>
    <xf numFmtId="0" fontId="6" fillId="4" borderId="29" xfId="3" applyFont="1" applyBorder="1"/>
    <xf numFmtId="0" fontId="6" fillId="4" borderId="32" xfId="3" applyFont="1" applyBorder="1"/>
    <xf numFmtId="0" fontId="6" fillId="4" borderId="31" xfId="3" applyFont="1" applyBorder="1"/>
    <xf numFmtId="0" fontId="6" fillId="5" borderId="31" xfId="4" applyFont="1" applyBorder="1"/>
    <xf numFmtId="0" fontId="6" fillId="5" borderId="33" xfId="4" applyFont="1" applyBorder="1"/>
    <xf numFmtId="0" fontId="1" fillId="4" borderId="23" xfId="3" applyBorder="1"/>
    <xf numFmtId="0" fontId="2" fillId="2" borderId="23" xfId="1" applyBorder="1" applyAlignment="1">
      <alignment horizontal="center"/>
    </xf>
    <xf numFmtId="0" fontId="1" fillId="4" borderId="23" xfId="3" applyBorder="1" applyAlignment="1">
      <alignment horizontal="center"/>
    </xf>
    <xf numFmtId="0" fontId="1" fillId="4" borderId="32" xfId="3" applyBorder="1"/>
    <xf numFmtId="0" fontId="7" fillId="5" borderId="10" xfId="4" applyFont="1" applyBorder="1"/>
    <xf numFmtId="0" fontId="6" fillId="5" borderId="9" xfId="4" applyFont="1" applyBorder="1" applyAlignment="1">
      <alignment horizontal="right"/>
    </xf>
    <xf numFmtId="2" fontId="6" fillId="5" borderId="4" xfId="4" applyNumberFormat="1" applyFont="1" applyBorder="1"/>
    <xf numFmtId="2" fontId="6" fillId="5" borderId="30" xfId="4" applyNumberFormat="1" applyFont="1" applyBorder="1"/>
    <xf numFmtId="0" fontId="6" fillId="4" borderId="34" xfId="3" applyFont="1" applyBorder="1"/>
    <xf numFmtId="0" fontId="6" fillId="4" borderId="37" xfId="3" applyFont="1" applyBorder="1" applyAlignment="1">
      <alignment horizontal="center"/>
    </xf>
    <xf numFmtId="0" fontId="6" fillId="4" borderId="23" xfId="3" applyFont="1" applyBorder="1" applyAlignment="1">
      <alignment horizontal="right"/>
    </xf>
    <xf numFmtId="0" fontId="6" fillId="4" borderId="32" xfId="3" applyFont="1" applyBorder="1" applyAlignment="1">
      <alignment horizontal="right"/>
    </xf>
    <xf numFmtId="0" fontId="7" fillId="4" borderId="24" xfId="3" applyFont="1" applyBorder="1"/>
    <xf numFmtId="0" fontId="6" fillId="4" borderId="25" xfId="3" applyFont="1" applyBorder="1" applyAlignment="1">
      <alignment horizontal="right"/>
    </xf>
    <xf numFmtId="0" fontId="6" fillId="5" borderId="34" xfId="4" applyFont="1" applyBorder="1"/>
    <xf numFmtId="0" fontId="6" fillId="5" borderId="37" xfId="4" applyFont="1" applyBorder="1"/>
    <xf numFmtId="0" fontId="7" fillId="4" borderId="4" xfId="3" applyFont="1" applyBorder="1" applyAlignment="1">
      <alignment horizontal="center"/>
    </xf>
    <xf numFmtId="0" fontId="7" fillId="5" borderId="23" xfId="4" applyFont="1" applyBorder="1"/>
    <xf numFmtId="0" fontId="6" fillId="5" borderId="23" xfId="4" applyFont="1" applyBorder="1" applyAlignment="1">
      <alignment horizontal="center"/>
    </xf>
    <xf numFmtId="2" fontId="6" fillId="5" borderId="32" xfId="4" applyNumberFormat="1" applyFont="1" applyBorder="1" applyAlignment="1">
      <alignment horizontal="right"/>
    </xf>
    <xf numFmtId="0" fontId="6" fillId="5" borderId="4" xfId="4" applyFont="1" applyBorder="1" applyAlignment="1">
      <alignment horizontal="right"/>
    </xf>
    <xf numFmtId="0" fontId="6" fillId="5" borderId="30" xfId="4" applyFont="1" applyBorder="1" applyAlignment="1">
      <alignment horizontal="right"/>
    </xf>
    <xf numFmtId="0" fontId="6" fillId="5" borderId="10" xfId="4" applyFont="1" applyBorder="1"/>
    <xf numFmtId="0" fontId="7" fillId="4" borderId="38" xfId="3" applyFont="1" applyBorder="1" applyAlignment="1">
      <alignment horizontal="center"/>
    </xf>
    <xf numFmtId="0" fontId="7" fillId="4" borderId="27" xfId="3" applyFont="1" applyBorder="1" applyAlignment="1">
      <alignment horizontal="center"/>
    </xf>
    <xf numFmtId="0" fontId="6" fillId="4" borderId="30" xfId="3" applyFont="1" applyBorder="1"/>
    <xf numFmtId="0" fontId="6" fillId="5" borderId="23" xfId="4" applyFont="1" applyBorder="1"/>
    <xf numFmtId="0" fontId="6" fillId="5" borderId="32" xfId="4" applyFont="1" applyBorder="1"/>
    <xf numFmtId="0" fontId="6" fillId="4" borderId="33" xfId="3" applyFont="1" applyBorder="1"/>
    <xf numFmtId="0" fontId="7" fillId="4" borderId="28" xfId="3" applyFont="1" applyBorder="1"/>
    <xf numFmtId="0" fontId="6" fillId="4" borderId="28" xfId="3" applyFont="1" applyBorder="1" applyAlignment="1">
      <alignment horizontal="right"/>
    </xf>
    <xf numFmtId="2" fontId="6" fillId="4" borderId="28" xfId="3" applyNumberFormat="1" applyFont="1" applyBorder="1" applyAlignment="1">
      <alignment horizontal="center"/>
    </xf>
    <xf numFmtId="0" fontId="7" fillId="5" borderId="38" xfId="4" applyFont="1" applyBorder="1" applyAlignment="1">
      <alignment horizontal="center"/>
    </xf>
    <xf numFmtId="0" fontId="0" fillId="0" borderId="0" xfId="0" applyNumberFormat="1" applyBorder="1"/>
    <xf numFmtId="14" fontId="6" fillId="5" borderId="1" xfId="4" applyNumberFormat="1" applyFont="1" applyBorder="1" applyAlignment="1">
      <alignment horizontal="center"/>
    </xf>
    <xf numFmtId="0" fontId="6" fillId="5" borderId="24" xfId="4" applyFont="1" applyBorder="1" applyAlignment="1">
      <alignment horizontal="center"/>
    </xf>
    <xf numFmtId="0" fontId="11" fillId="0" borderId="0" xfId="0" applyFont="1"/>
    <xf numFmtId="0" fontId="7" fillId="5" borderId="26" xfId="4" applyFont="1" applyBorder="1"/>
    <xf numFmtId="0" fontId="7" fillId="5" borderId="26" xfId="4" applyFont="1" applyBorder="1" applyAlignment="1">
      <alignment horizontal="center"/>
    </xf>
    <xf numFmtId="0" fontId="7" fillId="5" borderId="3" xfId="4" applyFont="1" applyBorder="1" applyAlignment="1">
      <alignment horizontal="left"/>
    </xf>
    <xf numFmtId="0" fontId="7" fillId="4" borderId="3" xfId="3" applyFont="1" applyBorder="1" applyAlignment="1">
      <alignment horizontal="left"/>
    </xf>
    <xf numFmtId="0" fontId="7" fillId="5" borderId="23" xfId="4" applyFont="1" applyBorder="1" applyAlignment="1">
      <alignment horizontal="left"/>
    </xf>
    <xf numFmtId="49" fontId="2" fillId="2" borderId="3" xfId="1" applyNumberFormat="1" applyBorder="1"/>
    <xf numFmtId="0" fontId="5" fillId="5" borderId="23" xfId="4" applyBorder="1"/>
    <xf numFmtId="164" fontId="2" fillId="2" borderId="3" xfId="1" applyNumberFormat="1" applyBorder="1" applyAlignment="1">
      <alignment horizontal="left"/>
    </xf>
    <xf numFmtId="0" fontId="6" fillId="2" borderId="15" xfId="1" applyFont="1" applyBorder="1" applyAlignment="1">
      <alignment horizontal="center"/>
    </xf>
    <xf numFmtId="0" fontId="2" fillId="2" borderId="46" xfId="1" applyBorder="1"/>
    <xf numFmtId="0" fontId="0" fillId="0" borderId="47" xfId="0" applyBorder="1"/>
    <xf numFmtId="0" fontId="6" fillId="2" borderId="45" xfId="1" applyFont="1" applyBorder="1" applyAlignment="1">
      <alignment horizontal="center"/>
    </xf>
    <xf numFmtId="0" fontId="6" fillId="5" borderId="28" xfId="4" applyFont="1" applyBorder="1"/>
    <xf numFmtId="0" fontId="7" fillId="5" borderId="28" xfId="4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5" borderId="34" xfId="4" applyFont="1" applyBorder="1" applyAlignment="1"/>
    <xf numFmtId="0" fontId="6" fillId="5" borderId="35" xfId="4" applyFont="1" applyBorder="1" applyAlignment="1"/>
    <xf numFmtId="0" fontId="6" fillId="5" borderId="36" xfId="4" applyFont="1" applyBorder="1" applyAlignment="1"/>
    <xf numFmtId="0" fontId="7" fillId="5" borderId="5" xfId="4" applyFont="1" applyBorder="1" applyAlignment="1">
      <alignment horizontal="left"/>
    </xf>
    <xf numFmtId="0" fontId="7" fillId="5" borderId="6" xfId="4" applyFont="1" applyBorder="1" applyAlignment="1">
      <alignment horizontal="left"/>
    </xf>
    <xf numFmtId="0" fontId="2" fillId="2" borderId="3" xfId="1" applyBorder="1" applyAlignment="1">
      <alignment horizontal="center"/>
    </xf>
    <xf numFmtId="0" fontId="7" fillId="4" borderId="38" xfId="3" applyFont="1" applyBorder="1" applyAlignment="1">
      <alignment horizontal="center"/>
    </xf>
    <xf numFmtId="0" fontId="6" fillId="4" borderId="5" xfId="3" applyFont="1" applyBorder="1" applyAlignment="1"/>
    <xf numFmtId="0" fontId="6" fillId="4" borderId="7" xfId="3" applyFont="1" applyBorder="1" applyAlignment="1"/>
    <xf numFmtId="0" fontId="6" fillId="4" borderId="22" xfId="3" applyFont="1" applyBorder="1" applyAlignment="1"/>
    <xf numFmtId="0" fontId="6" fillId="5" borderId="5" xfId="4" applyFont="1" applyBorder="1" applyAlignment="1"/>
    <xf numFmtId="0" fontId="6" fillId="5" borderId="7" xfId="4" applyFont="1" applyBorder="1" applyAlignment="1"/>
    <xf numFmtId="0" fontId="6" fillId="5" borderId="22" xfId="4" applyFont="1" applyBorder="1" applyAlignment="1"/>
    <xf numFmtId="0" fontId="12" fillId="4" borderId="40" xfId="3" applyFont="1" applyBorder="1" applyAlignment="1">
      <alignment horizontal="center" vertical="center"/>
    </xf>
    <xf numFmtId="0" fontId="12" fillId="4" borderId="41" xfId="3" applyFont="1" applyBorder="1" applyAlignment="1">
      <alignment horizontal="center" vertical="center"/>
    </xf>
    <xf numFmtId="0" fontId="12" fillId="4" borderId="48" xfId="3" applyFont="1" applyBorder="1" applyAlignment="1">
      <alignment horizontal="center" vertical="center"/>
    </xf>
    <xf numFmtId="0" fontId="12" fillId="4" borderId="49" xfId="3" applyFont="1" applyBorder="1" applyAlignment="1">
      <alignment horizontal="center" vertical="center"/>
    </xf>
    <xf numFmtId="0" fontId="12" fillId="4" borderId="50" xfId="3" applyFont="1" applyBorder="1" applyAlignment="1">
      <alignment horizontal="center" vertical="center"/>
    </xf>
    <xf numFmtId="0" fontId="12" fillId="4" borderId="51" xfId="3" applyFont="1" applyBorder="1" applyAlignment="1">
      <alignment horizontal="center" vertical="center"/>
    </xf>
    <xf numFmtId="0" fontId="1" fillId="4" borderId="40" xfId="3" applyBorder="1" applyAlignment="1">
      <alignment horizontal="center" vertical="center"/>
    </xf>
    <xf numFmtId="0" fontId="1" fillId="4" borderId="41" xfId="3" applyBorder="1" applyAlignment="1">
      <alignment horizontal="center" vertical="center"/>
    </xf>
    <xf numFmtId="0" fontId="1" fillId="4" borderId="16" xfId="3" applyBorder="1" applyAlignment="1">
      <alignment horizontal="center" vertical="center"/>
    </xf>
    <xf numFmtId="0" fontId="1" fillId="4" borderId="24" xfId="3" applyBorder="1" applyAlignment="1">
      <alignment horizontal="center" vertical="center"/>
    </xf>
    <xf numFmtId="0" fontId="1" fillId="4" borderId="19" xfId="3" applyBorder="1" applyAlignment="1">
      <alignment horizontal="center" vertical="center"/>
    </xf>
    <xf numFmtId="0" fontId="1" fillId="4" borderId="17" xfId="3" applyBorder="1" applyAlignment="1">
      <alignment horizontal="center" vertical="center"/>
    </xf>
    <xf numFmtId="0" fontId="1" fillId="4" borderId="39" xfId="3" applyBorder="1" applyAlignment="1">
      <alignment horizontal="center" vertical="center"/>
    </xf>
    <xf numFmtId="0" fontId="1" fillId="4" borderId="28" xfId="3" applyBorder="1" applyAlignment="1">
      <alignment horizontal="center" vertical="center"/>
    </xf>
    <xf numFmtId="0" fontId="7" fillId="5" borderId="8" xfId="4" applyFont="1" applyBorder="1" applyAlignment="1">
      <alignment horizontal="center" vertical="center"/>
    </xf>
    <xf numFmtId="0" fontId="7" fillId="5" borderId="4" xfId="4" applyFont="1" applyBorder="1" applyAlignment="1">
      <alignment horizontal="center" vertical="center"/>
    </xf>
    <xf numFmtId="0" fontId="7" fillId="5" borderId="31" xfId="4" applyFont="1" applyBorder="1" applyAlignment="1">
      <alignment horizontal="center" vertical="center"/>
    </xf>
    <xf numFmtId="0" fontId="7" fillId="5" borderId="30" xfId="4" applyFont="1" applyBorder="1" applyAlignment="1">
      <alignment horizontal="center" vertical="center"/>
    </xf>
    <xf numFmtId="14" fontId="6" fillId="4" borderId="8" xfId="3" applyNumberFormat="1" applyFont="1" applyBorder="1" applyAlignment="1">
      <alignment horizontal="center" vertical="center"/>
    </xf>
    <xf numFmtId="14" fontId="6" fillId="4" borderId="28" xfId="3" applyNumberFormat="1" applyFont="1" applyBorder="1" applyAlignment="1">
      <alignment horizontal="center" vertical="center"/>
    </xf>
    <xf numFmtId="0" fontId="7" fillId="5" borderId="10" xfId="4" applyFont="1" applyBorder="1" applyAlignment="1">
      <alignment horizontal="center"/>
    </xf>
    <xf numFmtId="0" fontId="7" fillId="5" borderId="9" xfId="4" applyFont="1" applyBorder="1" applyAlignment="1">
      <alignment horizontal="center"/>
    </xf>
    <xf numFmtId="2" fontId="13" fillId="4" borderId="42" xfId="3" applyNumberFormat="1" applyFont="1" applyBorder="1" applyAlignment="1"/>
    <xf numFmtId="2" fontId="13" fillId="4" borderId="43" xfId="3" applyNumberFormat="1" applyFont="1" applyBorder="1" applyAlignment="1"/>
    <xf numFmtId="2" fontId="13" fillId="4" borderId="44" xfId="3" applyNumberFormat="1" applyFont="1" applyBorder="1" applyAlignment="1"/>
  </cellXfs>
  <cellStyles count="6">
    <cellStyle name="20% - Accent1" xfId="3" builtinId="30"/>
    <cellStyle name="60% - Accent1" xfId="4" builtinId="32"/>
    <cellStyle name="Bad" xfId="2" builtinId="27"/>
    <cellStyle name="Good" xfId="1" builtinId="26"/>
    <cellStyle name="Neutral" xfId="5" builtinId="28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100"/>
      <color rgb="FFFFC7CE"/>
      <color rgb="FFFFCDCD"/>
      <color rgb="FF9C0006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workbookViewId="0">
      <selection activeCell="G13" sqref="G13"/>
    </sheetView>
  </sheetViews>
  <sheetFormatPr defaultRowHeight="14.4" x14ac:dyDescent="0.3"/>
  <cols>
    <col min="1" max="1" width="23.77734375" style="47" bestFit="1" customWidth="1"/>
    <col min="2" max="2" width="4" bestFit="1" customWidth="1"/>
    <col min="3" max="3" width="23.77734375" style="1" bestFit="1" customWidth="1"/>
    <col min="4" max="4" width="12.44140625" style="1" bestFit="1" customWidth="1"/>
    <col min="5" max="6" width="14.44140625" bestFit="1" customWidth="1"/>
  </cols>
  <sheetData>
    <row r="1" spans="1:8" ht="15" thickBot="1" x14ac:dyDescent="0.35">
      <c r="A1" s="48" t="s">
        <v>31</v>
      </c>
      <c r="B1" s="44" t="s">
        <v>32</v>
      </c>
      <c r="C1" s="44" t="s">
        <v>31</v>
      </c>
      <c r="D1" s="124" t="s">
        <v>34</v>
      </c>
      <c r="E1" s="124"/>
      <c r="F1" s="44" t="s">
        <v>33</v>
      </c>
    </row>
    <row r="2" spans="1:8" ht="15" thickBot="1" x14ac:dyDescent="0.35">
      <c r="A2" s="47" t="s">
        <v>45</v>
      </c>
      <c r="B2" s="45">
        <v>1</v>
      </c>
      <c r="C2" s="45" t="s">
        <v>45</v>
      </c>
      <c r="D2" s="46">
        <f>0</f>
        <v>0</v>
      </c>
      <c r="E2" s="118">
        <v>0</v>
      </c>
      <c r="F2" s="121">
        <v>300</v>
      </c>
      <c r="G2" s="119"/>
      <c r="H2" s="120" t="s">
        <v>39</v>
      </c>
    </row>
    <row r="3" spans="1:8" x14ac:dyDescent="0.3">
      <c r="A3" s="47" t="s">
        <v>35</v>
      </c>
      <c r="B3" s="45"/>
      <c r="C3" s="45"/>
      <c r="D3" s="46">
        <f>E2+1</f>
        <v>1</v>
      </c>
      <c r="E3" s="118">
        <v>200</v>
      </c>
      <c r="F3" s="118">
        <v>21.8</v>
      </c>
    </row>
    <row r="4" spans="1:8" x14ac:dyDescent="0.3">
      <c r="B4" s="45"/>
      <c r="C4" s="45"/>
      <c r="D4" s="46">
        <f t="shared" ref="D4:D6" si="0">E3+1</f>
        <v>201</v>
      </c>
      <c r="E4" s="118">
        <v>300</v>
      </c>
      <c r="F4" s="118">
        <v>33.4</v>
      </c>
    </row>
    <row r="5" spans="1:8" x14ac:dyDescent="0.3">
      <c r="B5" s="45"/>
      <c r="C5" s="45"/>
      <c r="D5" s="46">
        <f t="shared" si="0"/>
        <v>301</v>
      </c>
      <c r="E5" s="118">
        <v>600</v>
      </c>
      <c r="F5" s="118">
        <v>51.6</v>
      </c>
    </row>
    <row r="6" spans="1:8" x14ac:dyDescent="0.3">
      <c r="B6" s="45"/>
      <c r="C6" s="45"/>
      <c r="D6" s="46">
        <f t="shared" si="0"/>
        <v>601</v>
      </c>
      <c r="E6" s="118">
        <v>900</v>
      </c>
      <c r="F6" s="118">
        <v>54.6</v>
      </c>
    </row>
    <row r="7" spans="1:8" x14ac:dyDescent="0.3">
      <c r="B7" s="45"/>
      <c r="C7" s="45"/>
      <c r="D7" s="46">
        <f>E6+1</f>
        <v>901</v>
      </c>
      <c r="E7" s="118" t="s">
        <v>46</v>
      </c>
      <c r="F7" s="118">
        <v>57.1</v>
      </c>
    </row>
    <row r="8" spans="1:8" x14ac:dyDescent="0.3">
      <c r="B8" s="45">
        <v>2</v>
      </c>
      <c r="C8" s="45" t="s">
        <v>35</v>
      </c>
      <c r="D8" s="46">
        <f>0</f>
        <v>0</v>
      </c>
      <c r="E8" s="118">
        <v>0</v>
      </c>
      <c r="F8" s="118">
        <v>720</v>
      </c>
    </row>
    <row r="9" spans="1:8" x14ac:dyDescent="0.3">
      <c r="B9" s="45"/>
      <c r="C9" s="45"/>
      <c r="D9" s="46">
        <f>E8+1</f>
        <v>1</v>
      </c>
      <c r="E9" s="118">
        <v>200</v>
      </c>
      <c r="F9" s="118">
        <v>43.5</v>
      </c>
    </row>
    <row r="10" spans="1:8" x14ac:dyDescent="0.3">
      <c r="B10" s="45"/>
      <c r="C10" s="45"/>
      <c r="D10" s="46">
        <f>E9+1</f>
        <v>201</v>
      </c>
      <c r="E10" s="118" t="s">
        <v>46</v>
      </c>
      <c r="F10" s="118">
        <v>50.9</v>
      </c>
    </row>
    <row r="11" spans="1:8" x14ac:dyDescent="0.3">
      <c r="C11"/>
      <c r="E11" s="1"/>
    </row>
  </sheetData>
  <mergeCells count="1">
    <mergeCell ref="D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abSelected="1" zoomScale="70" zoomScaleNormal="70" workbookViewId="0">
      <selection activeCell="K16" sqref="K16"/>
    </sheetView>
  </sheetViews>
  <sheetFormatPr defaultRowHeight="14.4" x14ac:dyDescent="0.3"/>
  <cols>
    <col min="1" max="1" width="30.21875" style="10" bestFit="1" customWidth="1"/>
    <col min="2" max="2" width="22.77734375" style="10" bestFit="1" customWidth="1"/>
    <col min="3" max="3" width="20.109375" style="10" bestFit="1" customWidth="1"/>
    <col min="4" max="4" width="15.5546875" style="10" bestFit="1" customWidth="1"/>
    <col min="5" max="5" width="15.21875" style="10" bestFit="1" customWidth="1"/>
    <col min="7" max="8" width="9.44140625" bestFit="1" customWidth="1"/>
  </cols>
  <sheetData>
    <row r="1" spans="1:7" x14ac:dyDescent="0.3">
      <c r="A1" s="112" t="s">
        <v>53</v>
      </c>
      <c r="B1" s="115" t="s">
        <v>57</v>
      </c>
      <c r="C1" s="3"/>
      <c r="D1" s="3"/>
      <c r="E1" s="13"/>
      <c r="F1" s="125" t="s">
        <v>51</v>
      </c>
      <c r="G1" s="126"/>
    </row>
    <row r="2" spans="1:7" x14ac:dyDescent="0.3">
      <c r="A2" s="113" t="s">
        <v>54</v>
      </c>
      <c r="B2" s="115">
        <v>203011</v>
      </c>
      <c r="C2" s="4"/>
      <c r="D2" s="4"/>
      <c r="E2" s="14"/>
      <c r="F2" s="50"/>
      <c r="G2" s="51" t="s">
        <v>39</v>
      </c>
    </row>
    <row r="3" spans="1:7" ht="15" thickBot="1" x14ac:dyDescent="0.35">
      <c r="A3" s="112" t="s">
        <v>55</v>
      </c>
      <c r="B3" s="117">
        <v>237.6</v>
      </c>
      <c r="C3" s="3"/>
      <c r="D3" s="3"/>
      <c r="E3" s="13"/>
      <c r="F3" s="34"/>
      <c r="G3" s="35" t="s">
        <v>38</v>
      </c>
    </row>
    <row r="4" spans="1:7" x14ac:dyDescent="0.3">
      <c r="A4" s="113" t="s">
        <v>56</v>
      </c>
      <c r="B4" s="115">
        <v>6296131076</v>
      </c>
      <c r="C4" s="4"/>
      <c r="D4" s="4"/>
      <c r="E4" s="68"/>
      <c r="F4" s="109" t="s">
        <v>52</v>
      </c>
    </row>
    <row r="5" spans="1:7" x14ac:dyDescent="0.3">
      <c r="A5" s="114"/>
      <c r="B5" s="116"/>
      <c r="C5" s="99"/>
      <c r="D5" s="99"/>
      <c r="E5" s="100"/>
    </row>
    <row r="6" spans="1:7" x14ac:dyDescent="0.3">
      <c r="A6" s="140" t="str">
        <f>CONCATENATE("Total amount payable ", "RM", FIXED(C12,2))</f>
        <v>Total amount payable RM66.34</v>
      </c>
      <c r="B6" s="141"/>
      <c r="C6" s="142"/>
      <c r="D6" s="89" t="s">
        <v>7</v>
      </c>
      <c r="E6" s="98"/>
    </row>
    <row r="7" spans="1:7" ht="15" thickBot="1" x14ac:dyDescent="0.35">
      <c r="A7" s="143"/>
      <c r="B7" s="144"/>
      <c r="C7" s="145"/>
      <c r="D7" s="54">
        <f>C19</f>
        <v>44418</v>
      </c>
      <c r="E7" s="69"/>
    </row>
    <row r="8" spans="1:7" ht="15" thickTop="1" x14ac:dyDescent="0.3">
      <c r="A8" s="122"/>
      <c r="B8" s="122"/>
      <c r="C8" s="123" t="s">
        <v>36</v>
      </c>
      <c r="D8" s="105" t="s">
        <v>8</v>
      </c>
      <c r="E8" s="56"/>
    </row>
    <row r="9" spans="1:7" x14ac:dyDescent="0.3">
      <c r="A9" s="26" t="s">
        <v>0</v>
      </c>
      <c r="B9" s="36" t="s">
        <v>6</v>
      </c>
      <c r="C9" s="18">
        <f>C14-C15</f>
        <v>9.3999999999999986</v>
      </c>
      <c r="D9" s="158">
        <f>D7+29</f>
        <v>44447</v>
      </c>
      <c r="E9" s="70"/>
      <c r="G9" s="39"/>
    </row>
    <row r="10" spans="1:7" x14ac:dyDescent="0.3">
      <c r="A10" s="26" t="s">
        <v>1</v>
      </c>
      <c r="B10" s="36" t="s">
        <v>6</v>
      </c>
      <c r="C10" s="18">
        <f>C41</f>
        <v>56.940000000000005</v>
      </c>
      <c r="D10" s="158"/>
      <c r="E10" s="70"/>
      <c r="G10" s="39"/>
    </row>
    <row r="11" spans="1:7" x14ac:dyDescent="0.3">
      <c r="A11" s="26" t="s">
        <v>2</v>
      </c>
      <c r="B11" s="36" t="s">
        <v>6</v>
      </c>
      <c r="C11" s="19">
        <f>C12-C10</f>
        <v>9.3999999999999986</v>
      </c>
      <c r="D11" s="158"/>
      <c r="E11" s="70"/>
      <c r="G11" s="106"/>
    </row>
    <row r="12" spans="1:7" x14ac:dyDescent="0.3">
      <c r="A12" s="102" t="s">
        <v>3</v>
      </c>
      <c r="B12" s="103" t="s">
        <v>6</v>
      </c>
      <c r="C12" s="104">
        <f>IF(OR(MOD(C10*100,10)=4,MOD(C10*100,10)=9),(C10*100+1)/100,IF(OR(MOD(C10*100,10)=3,MOD(C10*100,10)=8),(C10*100+2)/100,IF(OR(MOD(C10*100,10)=1,MOD(C10*100,10)=6),(C10*100-1)/100,IF(OR(MOD(C10*100,10)=2,MOD(C10*100,10)=7),(C10*100-2)/100, C10)))) + C9</f>
        <v>66.34</v>
      </c>
      <c r="D12" s="159"/>
      <c r="E12" s="101"/>
      <c r="G12" s="49"/>
    </row>
    <row r="13" spans="1:7" x14ac:dyDescent="0.3">
      <c r="A13" s="110"/>
      <c r="B13" s="55"/>
      <c r="C13" s="111" t="s">
        <v>36</v>
      </c>
      <c r="D13" s="111" t="s">
        <v>9</v>
      </c>
      <c r="E13" s="56"/>
      <c r="G13" s="49"/>
    </row>
    <row r="14" spans="1:7" x14ac:dyDescent="0.3">
      <c r="A14" s="25" t="s">
        <v>4</v>
      </c>
      <c r="B14" s="37" t="s">
        <v>6</v>
      </c>
      <c r="C14" s="33">
        <v>59.4</v>
      </c>
      <c r="D14" s="107">
        <f>B19-1</f>
        <v>44387</v>
      </c>
      <c r="E14" s="71"/>
    </row>
    <row r="15" spans="1:7" x14ac:dyDescent="0.3">
      <c r="A15" s="57" t="s">
        <v>5</v>
      </c>
      <c r="B15" s="58" t="s">
        <v>6</v>
      </c>
      <c r="C15" s="59">
        <v>50</v>
      </c>
      <c r="D15" s="108"/>
      <c r="E15" s="72"/>
    </row>
    <row r="16" spans="1:7" x14ac:dyDescent="0.3">
      <c r="A16" s="152" t="s">
        <v>10</v>
      </c>
      <c r="B16" s="146" t="s">
        <v>58</v>
      </c>
      <c r="C16" s="147"/>
      <c r="D16" s="147"/>
      <c r="E16" s="148"/>
    </row>
    <row r="17" spans="1:5" x14ac:dyDescent="0.3">
      <c r="A17" s="153"/>
      <c r="B17" s="149"/>
      <c r="C17" s="150"/>
      <c r="D17" s="150"/>
      <c r="E17" s="151"/>
    </row>
    <row r="18" spans="1:5" x14ac:dyDescent="0.3">
      <c r="A18" s="154" t="s">
        <v>11</v>
      </c>
      <c r="B18" s="28" t="s">
        <v>40</v>
      </c>
      <c r="C18" s="43" t="s">
        <v>41</v>
      </c>
      <c r="D18" s="29" t="s">
        <v>42</v>
      </c>
      <c r="E18" s="156" t="s">
        <v>15</v>
      </c>
    </row>
    <row r="19" spans="1:5" x14ac:dyDescent="0.3">
      <c r="A19" s="155"/>
      <c r="B19" s="31">
        <v>44388</v>
      </c>
      <c r="C19" s="32">
        <v>44418</v>
      </c>
      <c r="D19" s="30" t="str">
        <f>IF(C19-B19&lt;30,"Atleast 31days",CONCATENATE("(",C19-B19+1," days)"))</f>
        <v>(31 days)</v>
      </c>
      <c r="E19" s="157"/>
    </row>
    <row r="20" spans="1:5" x14ac:dyDescent="0.3">
      <c r="A20" s="24" t="s">
        <v>12</v>
      </c>
      <c r="B20" s="132" t="s">
        <v>45</v>
      </c>
      <c r="C20" s="132"/>
      <c r="D20" s="132"/>
      <c r="E20" s="60">
        <f>IF(C19-B19&lt;30,"Invalid",IF(C19-B19=30,1,(C19-B19+1)/30))</f>
        <v>1</v>
      </c>
    </row>
    <row r="21" spans="1:5" x14ac:dyDescent="0.3">
      <c r="A21" s="42" t="s">
        <v>30</v>
      </c>
      <c r="B21" s="42" t="s">
        <v>14</v>
      </c>
      <c r="C21" s="42" t="s">
        <v>43</v>
      </c>
      <c r="D21" s="42" t="s">
        <v>47</v>
      </c>
      <c r="E21" s="61" t="s">
        <v>16</v>
      </c>
    </row>
    <row r="22" spans="1:5" x14ac:dyDescent="0.3">
      <c r="A22" s="6">
        <v>200</v>
      </c>
      <c r="B22" s="6">
        <f>IF(B28-A22*$E$20&lt;=0, B28, A22*$E$20)</f>
        <v>200</v>
      </c>
      <c r="C22" s="6">
        <f>B28-B22</f>
        <v>98</v>
      </c>
      <c r="D22" s="6">
        <v>0.218</v>
      </c>
      <c r="E22" s="62">
        <f>ROUND(D22*B22,2)</f>
        <v>43.6</v>
      </c>
    </row>
    <row r="23" spans="1:5" x14ac:dyDescent="0.3">
      <c r="A23" s="5">
        <v>100</v>
      </c>
      <c r="B23" s="2">
        <f>IF(C22-A23*$E$20&lt;=0, C22, A23*$E$20)</f>
        <v>98</v>
      </c>
      <c r="C23" s="5">
        <f>C22-B23</f>
        <v>0</v>
      </c>
      <c r="D23" s="5">
        <v>0.33399999999999996</v>
      </c>
      <c r="E23" s="63">
        <f t="shared" ref="E23:E25" si="0">ROUND(D23*B23,2)</f>
        <v>32.729999999999997</v>
      </c>
    </row>
    <row r="24" spans="1:5" x14ac:dyDescent="0.3">
      <c r="A24" s="6">
        <v>300</v>
      </c>
      <c r="B24" s="6">
        <f t="shared" ref="B24:B25" si="1">IF(C23-A24*$E$20&lt;=0, C23, A24*$E$20)</f>
        <v>0</v>
      </c>
      <c r="C24" s="6">
        <f t="shared" ref="C24:C26" si="2">C23-B24</f>
        <v>0</v>
      </c>
      <c r="D24" s="6">
        <v>0.51600000000000001</v>
      </c>
      <c r="E24" s="64">
        <f t="shared" si="0"/>
        <v>0</v>
      </c>
    </row>
    <row r="25" spans="1:5" x14ac:dyDescent="0.3">
      <c r="A25" s="5">
        <v>300</v>
      </c>
      <c r="B25" s="2">
        <f t="shared" si="1"/>
        <v>0</v>
      </c>
      <c r="C25" s="5">
        <f t="shared" si="2"/>
        <v>0</v>
      </c>
      <c r="D25" s="5">
        <v>0.54600000000000004</v>
      </c>
      <c r="E25" s="63">
        <f t="shared" si="0"/>
        <v>0</v>
      </c>
    </row>
    <row r="26" spans="1:5" x14ac:dyDescent="0.3">
      <c r="A26" s="6"/>
      <c r="B26" s="6">
        <f>IF(C25-A26*$E$20&lt;=0, C25, A26*$E$20)</f>
        <v>0</v>
      </c>
      <c r="C26" s="6">
        <f t="shared" si="2"/>
        <v>0</v>
      </c>
      <c r="D26" s="6">
        <v>0.57100000000000006</v>
      </c>
      <c r="E26" s="64">
        <f>ROUND(D26*B26,2)</f>
        <v>0</v>
      </c>
    </row>
    <row r="27" spans="1:5" x14ac:dyDescent="0.3">
      <c r="A27" s="27" t="s">
        <v>44</v>
      </c>
      <c r="B27" s="5" t="s">
        <v>37</v>
      </c>
      <c r="C27" s="5" t="s">
        <v>37</v>
      </c>
      <c r="D27" s="20">
        <v>3</v>
      </c>
      <c r="E27" s="65">
        <f>IF(B28=0,  D27,0)</f>
        <v>0</v>
      </c>
    </row>
    <row r="28" spans="1:5" x14ac:dyDescent="0.3">
      <c r="A28" s="90" t="s">
        <v>17</v>
      </c>
      <c r="B28" s="91">
        <f>IF(ISNUMBER(D44),D44,0)</f>
        <v>298</v>
      </c>
      <c r="C28" s="91"/>
      <c r="D28" s="91"/>
      <c r="E28" s="92">
        <f>SUM(E22:E27)</f>
        <v>76.33</v>
      </c>
    </row>
    <row r="29" spans="1:5" x14ac:dyDescent="0.3">
      <c r="A29" s="133" t="s">
        <v>18</v>
      </c>
      <c r="B29" s="133"/>
      <c r="C29" s="96" t="s">
        <v>19</v>
      </c>
      <c r="D29" s="96" t="s">
        <v>20</v>
      </c>
      <c r="E29" s="97" t="s">
        <v>17</v>
      </c>
    </row>
    <row r="30" spans="1:5" x14ac:dyDescent="0.3">
      <c r="A30" s="95" t="s">
        <v>28</v>
      </c>
      <c r="B30" s="78" t="s">
        <v>13</v>
      </c>
      <c r="C30" s="93">
        <f>IF(E30-600&gt;0, 600, E30)</f>
        <v>298</v>
      </c>
      <c r="D30" s="93">
        <f>E30-C30</f>
        <v>0</v>
      </c>
      <c r="E30" s="94">
        <f>D44</f>
        <v>298</v>
      </c>
    </row>
    <row r="31" spans="1:5" x14ac:dyDescent="0.3">
      <c r="A31" s="14" t="s">
        <v>28</v>
      </c>
      <c r="B31" s="16" t="s">
        <v>6</v>
      </c>
      <c r="C31" s="21">
        <f>SUM(E22:E24)</f>
        <v>76.33</v>
      </c>
      <c r="D31" s="21">
        <f>IF(D44&lt;&gt;0,E28-C31,0)</f>
        <v>0</v>
      </c>
      <c r="E31" s="66">
        <f>E28</f>
        <v>76.33</v>
      </c>
    </row>
    <row r="32" spans="1:5" x14ac:dyDescent="0.3">
      <c r="A32" s="41" t="s">
        <v>48</v>
      </c>
      <c r="B32" s="17"/>
      <c r="C32" s="40">
        <f>-ROUND(C30 * 0.02, 2)</f>
        <v>-5.96</v>
      </c>
      <c r="D32" s="40">
        <f>-ROUND(D30 * 0.02, 2)</f>
        <v>0</v>
      </c>
      <c r="E32" s="67">
        <f>-ROUND(E30 * 0.02, 2)</f>
        <v>-5.96</v>
      </c>
    </row>
    <row r="33" spans="1:5" x14ac:dyDescent="0.3">
      <c r="A33" s="22" t="s">
        <v>49</v>
      </c>
      <c r="B33" s="38">
        <v>0.15</v>
      </c>
      <c r="C33" s="12">
        <f>-ROUND((C31+C32)*$B$33,2)</f>
        <v>-10.56</v>
      </c>
      <c r="D33" s="12">
        <f>-ROUND((D31+D32)*$B$33,2)</f>
        <v>0</v>
      </c>
      <c r="E33" s="65">
        <f>-ROUND((E31+E32)*$B$33,2)</f>
        <v>-10.56</v>
      </c>
    </row>
    <row r="34" spans="1:5" x14ac:dyDescent="0.3">
      <c r="A34" s="52" t="s">
        <v>50</v>
      </c>
      <c r="B34" s="53">
        <v>0.15</v>
      </c>
      <c r="C34" s="11"/>
      <c r="D34" s="11"/>
      <c r="E34" s="64">
        <f>-ROUND($C$14/31*$B$34*($B$19-DATE(2021,7,1)),2)</f>
        <v>-2.87</v>
      </c>
    </row>
    <row r="35" spans="1:5" x14ac:dyDescent="0.3">
      <c r="A35" s="81"/>
      <c r="B35" s="82"/>
      <c r="C35" s="83"/>
      <c r="D35" s="83"/>
      <c r="E35" s="84"/>
    </row>
    <row r="36" spans="1:5" x14ac:dyDescent="0.3">
      <c r="A36" s="77" t="s">
        <v>21</v>
      </c>
      <c r="B36" s="78" t="s">
        <v>6</v>
      </c>
      <c r="C36" s="79">
        <f>SUM(C31:C34)</f>
        <v>59.81</v>
      </c>
      <c r="D36" s="79">
        <f>SUM(D31:D34)</f>
        <v>0</v>
      </c>
      <c r="E36" s="80">
        <f>SUM(E31:E34)</f>
        <v>56.940000000000005</v>
      </c>
    </row>
    <row r="37" spans="1:5" x14ac:dyDescent="0.3">
      <c r="A37" s="22" t="s">
        <v>22</v>
      </c>
      <c r="B37" s="15"/>
      <c r="C37" s="134">
        <f>ROUND(D36*0.06,2)</f>
        <v>0</v>
      </c>
      <c r="D37" s="135"/>
      <c r="E37" s="136"/>
    </row>
    <row r="38" spans="1:5" x14ac:dyDescent="0.3">
      <c r="A38" s="130" t="s">
        <v>23</v>
      </c>
      <c r="B38" s="131"/>
      <c r="C38" s="137">
        <f>IF(AND(B20="A. Domestic",D44&lt;300),0,ROUND(E36*0.016,2))</f>
        <v>0</v>
      </c>
      <c r="D38" s="138"/>
      <c r="E38" s="139"/>
    </row>
    <row r="39" spans="1:5" x14ac:dyDescent="0.3">
      <c r="A39" s="14"/>
      <c r="B39" s="15"/>
      <c r="C39" s="134"/>
      <c r="D39" s="135"/>
      <c r="E39" s="136"/>
    </row>
    <row r="40" spans="1:5" x14ac:dyDescent="0.3">
      <c r="A40" s="87"/>
      <c r="B40" s="88"/>
      <c r="C40" s="127"/>
      <c r="D40" s="128"/>
      <c r="E40" s="129"/>
    </row>
    <row r="41" spans="1:5" ht="18" thickBot="1" x14ac:dyDescent="0.4">
      <c r="A41" s="85" t="s">
        <v>1</v>
      </c>
      <c r="B41" s="86" t="s">
        <v>6</v>
      </c>
      <c r="C41" s="162">
        <f>SUM(E36,C37,C38)</f>
        <v>56.940000000000005</v>
      </c>
      <c r="D41" s="163"/>
      <c r="E41" s="164"/>
    </row>
    <row r="42" spans="1:5" ht="15" thickTop="1" x14ac:dyDescent="0.3">
      <c r="A42" s="154" t="s">
        <v>24</v>
      </c>
      <c r="B42" s="160" t="s">
        <v>25</v>
      </c>
      <c r="C42" s="161"/>
      <c r="D42" s="154" t="s">
        <v>28</v>
      </c>
      <c r="E42" s="156" t="s">
        <v>29</v>
      </c>
    </row>
    <row r="43" spans="1:5" x14ac:dyDescent="0.3">
      <c r="A43" s="155"/>
      <c r="B43" s="23" t="s">
        <v>26</v>
      </c>
      <c r="C43" s="23" t="s">
        <v>27</v>
      </c>
      <c r="D43" s="155"/>
      <c r="E43" s="157"/>
    </row>
    <row r="44" spans="1:5" x14ac:dyDescent="0.3">
      <c r="A44" s="73">
        <v>311201234</v>
      </c>
      <c r="B44" s="74">
        <v>23139</v>
      </c>
      <c r="C44" s="74">
        <v>23437</v>
      </c>
      <c r="D44" s="75">
        <f>IF(C44-B44&lt;0, 0, C44-B44)</f>
        <v>298</v>
      </c>
      <c r="E44" s="76" t="s">
        <v>13</v>
      </c>
    </row>
    <row r="45" spans="1:5" x14ac:dyDescent="0.3">
      <c r="A45" s="7"/>
      <c r="B45" s="8"/>
      <c r="C45" s="7"/>
      <c r="D45" s="8"/>
      <c r="E45" s="9"/>
    </row>
    <row r="46" spans="1:5" x14ac:dyDescent="0.3">
      <c r="A46" s="7"/>
      <c r="B46" s="8"/>
      <c r="C46" s="8"/>
      <c r="D46" s="8"/>
      <c r="E46" s="9"/>
    </row>
  </sheetData>
  <mergeCells count="19">
    <mergeCell ref="A42:A43"/>
    <mergeCell ref="B42:C42"/>
    <mergeCell ref="D42:D43"/>
    <mergeCell ref="E42:E43"/>
    <mergeCell ref="C41:E41"/>
    <mergeCell ref="F1:G1"/>
    <mergeCell ref="C40:E40"/>
    <mergeCell ref="A38:B38"/>
    <mergeCell ref="B20:D20"/>
    <mergeCell ref="A29:B29"/>
    <mergeCell ref="C37:E37"/>
    <mergeCell ref="C38:E38"/>
    <mergeCell ref="C39:E39"/>
    <mergeCell ref="A6:C7"/>
    <mergeCell ref="B16:E17"/>
    <mergeCell ref="A16:A17"/>
    <mergeCell ref="A18:A19"/>
    <mergeCell ref="E18:E19"/>
    <mergeCell ref="D9:D12"/>
  </mergeCells>
  <conditionalFormatting sqref="C44">
    <cfRule type="cellIs" dxfId="10" priority="11" operator="lessThan">
      <formula>$B$44</formula>
    </cfRule>
  </conditionalFormatting>
  <conditionalFormatting sqref="C15">
    <cfRule type="cellIs" dxfId="0" priority="10" operator="greaterThan">
      <formula>$C$14</formula>
    </cfRule>
    <cfRule type="cellIs" dxfId="1" priority="1" operator="lessThan">
      <formula>0</formula>
    </cfRule>
  </conditionalFormatting>
  <conditionalFormatting sqref="C19">
    <cfRule type="expression" dxfId="9" priority="7">
      <formula>$C$19&lt;$B$19</formula>
    </cfRule>
  </conditionalFormatting>
  <conditionalFormatting sqref="B19:D19">
    <cfRule type="expression" dxfId="8" priority="3">
      <formula>$C$19-$B$19&lt;30</formula>
    </cfRule>
  </conditionalFormatting>
  <conditionalFormatting sqref="C14">
    <cfRule type="cellIs" dxfId="7" priority="2" operator="lessThan">
      <formula>0</formula>
    </cfRule>
  </conditionalFormatting>
  <dataValidations count="1">
    <dataValidation type="list" allowBlank="1" showInputMessage="1" showErrorMessage="1" sqref="B16">
      <formula1>"Actual, Estimate"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Tariff!$A$2:$A$3</xm:f>
          </x14:formula1>
          <xm:sqref>B20:D20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Tariff</vt:lpstr>
      <vt:lpstr>Electric Bill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yiliang ong</dc:creator>
  <cp:lastModifiedBy>yiliang ong</cp:lastModifiedBy>
  <dcterms:created xsi:type="dcterms:W3CDTF">2021-08-14T09:48:56Z</dcterms:created>
  <dcterms:modified xsi:type="dcterms:W3CDTF">2021-09-04T18:25:03Z</dcterms:modified>
</cp:coreProperties>
</file>